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90" windowHeight="7755"/>
  </bookViews>
  <sheets>
    <sheet name="DonneesFFAAssuranceFrance2009" sheetId="1" r:id="rId1"/>
    <sheet name="TableDeMortaliteFrance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E6" i="1" l="1"/>
  <c r="F6" i="1" s="1"/>
  <c r="E5" i="1"/>
  <c r="F5" i="1" s="1"/>
  <c r="E4" i="1"/>
  <c r="F4" i="1" s="1"/>
  <c r="F11" i="1" s="1"/>
  <c r="B10" i="1"/>
  <c r="B9" i="1"/>
  <c r="C9" i="1" s="1"/>
  <c r="B8" i="1"/>
  <c r="B7" i="1"/>
  <c r="C7" i="1" s="1"/>
  <c r="B4" i="1"/>
  <c r="C4" i="1" s="1"/>
  <c r="B5" i="1"/>
  <c r="B11" i="1" s="1"/>
  <c r="B6" i="1"/>
  <c r="C2" i="1"/>
  <c r="C8" i="1" s="1"/>
  <c r="C10" i="1" l="1"/>
  <c r="C6" i="1"/>
  <c r="E11" i="1"/>
  <c r="C5" i="1"/>
  <c r="C11" i="1" s="1"/>
  <c r="E2" i="1" s="1"/>
</calcChain>
</file>

<file path=xl/sharedStrings.xml><?xml version="1.0" encoding="utf-8"?>
<sst xmlns="http://schemas.openxmlformats.org/spreadsheetml/2006/main" count="40" uniqueCount="31">
  <si>
    <t>Cotisations</t>
  </si>
  <si>
    <t>Pourcentage</t>
  </si>
  <si>
    <t>Montant [Euros]</t>
  </si>
  <si>
    <t>Pourcentage [%]</t>
  </si>
  <si>
    <t>Assurances_dommages</t>
  </si>
  <si>
    <t>Assurances_personnes</t>
  </si>
  <si>
    <t>Cotisation_totale [Euros]</t>
  </si>
  <si>
    <t>Assuances_personnes</t>
  </si>
  <si>
    <t>Catastrophes naturelles</t>
  </si>
  <si>
    <t>Table de mortalite brutes</t>
  </si>
  <si>
    <t>Age</t>
  </si>
  <si>
    <t>France</t>
  </si>
  <si>
    <t>Date :Aujourd'hui</t>
  </si>
  <si>
    <t>Nombre de personnes</t>
  </si>
  <si>
    <t>"4.3083052707761462e-06"</t>
  </si>
  <si>
    <t>"7.9896475312072936e-08"</t>
  </si>
  <si>
    <t>Sexe</t>
  </si>
  <si>
    <t>Homme</t>
  </si>
  <si>
    <t>"3.5917628451191139e-06"</t>
  </si>
  <si>
    <t>Femme</t>
  </si>
  <si>
    <t>Dommages aux biens</t>
  </si>
  <si>
    <t>Construction</t>
  </si>
  <si>
    <t>Transports</t>
  </si>
  <si>
    <t>Automobile</t>
  </si>
  <si>
    <t>Responsabilité civile</t>
  </si>
  <si>
    <t>Divers</t>
  </si>
  <si>
    <t>Maladie et accidents corporels</t>
  </si>
  <si>
    <t>Bons de capitalisation</t>
  </si>
  <si>
    <t>Vie</t>
  </si>
  <si>
    <t>Total</t>
  </si>
  <si>
    <t>Total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</si>
</sst>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44" fontId="0" fillId="0" borderId="1" xfId="1" applyFont="1" applyBorder="1"/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0" fontId="0" fillId="0" borderId="1" xfId="2" applyNumberFormat="1" applyFont="1" applyBorder="1" applyAlignment="1">
      <alignment horizontal="center"/>
    </xf>
    <xf numFmtId="0" fontId="0" fillId="7" borderId="1" xfId="0" applyFill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10" fontId="0" fillId="7" borderId="1" xfId="2" applyNumberFormat="1" applyFont="1" applyFill="1" applyBorder="1" applyAlignment="1">
      <alignment horizontal="center"/>
    </xf>
    <xf numFmtId="10" fontId="0" fillId="7" borderId="1" xfId="0" applyNumberFormat="1" applyFill="1" applyBorder="1" applyAlignment="1">
      <alignment horizontal="center"/>
    </xf>
    <xf numFmtId="44" fontId="0" fillId="7" borderId="1" xfId="0" applyNumberFormat="1" applyFill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7" borderId="1" xfId="1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4" fontId="0" fillId="8" borderId="1" xfId="0" applyNumberFormat="1" applyFill="1" applyBorder="1"/>
    <xf numFmtId="0" fontId="0" fillId="0" borderId="0" xfId="0" applyFill="1" applyBorder="1" applyAlignment="1">
      <alignment horizontal="center"/>
    </xf>
    <xf numFmtId="10" fontId="0" fillId="0" borderId="0" xfId="2" applyNumberFormat="1" applyFont="1" applyFill="1" applyBorder="1" applyAlignment="1">
      <alignment horizont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5</xdr:row>
          <xdr:rowOff>47625</xdr:rowOff>
        </xdr:from>
        <xdr:to>
          <xdr:col>1</xdr:col>
          <xdr:colOff>971550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TableMortaliteHommeFrance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5</xdr:row>
          <xdr:rowOff>85725</xdr:rowOff>
        </xdr:from>
        <xdr:to>
          <xdr:col>5</xdr:col>
          <xdr:colOff>1257300</xdr:colOff>
          <xdr:row>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TableMortaliteFemmeFrance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24"/>
  <sheetViews>
    <sheetView tabSelected="1" workbookViewId="0">
      <selection activeCell="B19" sqref="B19"/>
    </sheetView>
  </sheetViews>
  <sheetFormatPr baseColWidth="10" defaultColWidth="9.140625" defaultRowHeight="15" x14ac:dyDescent="0.25"/>
  <cols>
    <col min="1" max="1" width="25.7109375" bestFit="1" customWidth="1"/>
    <col min="2" max="2" width="33.5703125" bestFit="1" customWidth="1"/>
    <col min="3" max="3" width="29.140625" bestFit="1" customWidth="1"/>
    <col min="4" max="4" width="39.5703125" bestFit="1" customWidth="1"/>
    <col min="5" max="6" width="19.85546875" bestFit="1" customWidth="1"/>
  </cols>
  <sheetData>
    <row r="1" spans="1:6" x14ac:dyDescent="0.25">
      <c r="A1" s="1" t="s">
        <v>7</v>
      </c>
    </row>
    <row r="2" spans="1:6" x14ac:dyDescent="0.25">
      <c r="A2" s="5" t="s">
        <v>0</v>
      </c>
      <c r="B2" s="4" t="s">
        <v>6</v>
      </c>
      <c r="C2" s="6">
        <f>200.1*10^(9)</f>
        <v>200100000000</v>
      </c>
      <c r="D2" s="17" t="s">
        <v>30</v>
      </c>
      <c r="E2" s="18">
        <f>SUM(C11,F11)</f>
        <v>200100000000</v>
      </c>
    </row>
    <row r="3" spans="1:6" x14ac:dyDescent="0.25">
      <c r="A3" s="7" t="s">
        <v>4</v>
      </c>
      <c r="B3" s="7" t="s">
        <v>3</v>
      </c>
      <c r="C3" s="7" t="s">
        <v>2</v>
      </c>
      <c r="D3" s="8" t="s">
        <v>5</v>
      </c>
      <c r="E3" s="8" t="s">
        <v>3</v>
      </c>
      <c r="F3" s="8" t="s">
        <v>2</v>
      </c>
    </row>
    <row r="4" spans="1:6" x14ac:dyDescent="0.25">
      <c r="A4" s="3" t="s">
        <v>8</v>
      </c>
      <c r="B4" s="9">
        <f>0.7*10^(-2)</f>
        <v>6.9999999999999993E-3</v>
      </c>
      <c r="C4" s="11">
        <f>$B4*$C$2</f>
        <v>1400699999.9999998</v>
      </c>
      <c r="D4" s="3" t="s">
        <v>26</v>
      </c>
      <c r="E4" s="9">
        <f>8.4*10^(-2)</f>
        <v>8.4000000000000005E-2</v>
      </c>
      <c r="F4" s="15">
        <f>$E4*$C$2</f>
        <v>16808400000.000002</v>
      </c>
    </row>
    <row r="5" spans="1:6" x14ac:dyDescent="0.25">
      <c r="A5" s="3" t="s">
        <v>20</v>
      </c>
      <c r="B5" s="9">
        <f>7.2*10^(-2)</f>
        <v>7.2000000000000008E-2</v>
      </c>
      <c r="C5" s="11">
        <f t="shared" ref="C5:C10" si="0">$B5*$C$2</f>
        <v>14407200000.000002</v>
      </c>
      <c r="D5" s="3" t="s">
        <v>27</v>
      </c>
      <c r="E5" s="9">
        <f>4.8*10^(-2)</f>
        <v>4.8000000000000001E-2</v>
      </c>
      <c r="F5" s="15">
        <f t="shared" ref="F5:F6" si="1">$E5*$C$2</f>
        <v>9604800000</v>
      </c>
    </row>
    <row r="6" spans="1:6" x14ac:dyDescent="0.25">
      <c r="A6" s="3" t="s">
        <v>21</v>
      </c>
      <c r="B6" s="9">
        <f>1.2*10^(-2)</f>
        <v>1.2E-2</v>
      </c>
      <c r="C6" s="11">
        <f t="shared" si="0"/>
        <v>2401200000</v>
      </c>
      <c r="D6" s="3" t="s">
        <v>28</v>
      </c>
      <c r="E6" s="9">
        <f>64.3*10^(-2)</f>
        <v>0.64300000000000002</v>
      </c>
      <c r="F6" s="15">
        <f t="shared" si="1"/>
        <v>128664300000</v>
      </c>
    </row>
    <row r="7" spans="1:6" x14ac:dyDescent="0.25">
      <c r="A7" s="3" t="s">
        <v>22</v>
      </c>
      <c r="B7" s="9">
        <f>0.5*10^(-2)</f>
        <v>5.0000000000000001E-3</v>
      </c>
      <c r="C7" s="11">
        <f t="shared" si="0"/>
        <v>1000500000</v>
      </c>
      <c r="D7" s="3"/>
      <c r="E7" s="9"/>
      <c r="F7" s="15"/>
    </row>
    <row r="8" spans="1:6" x14ac:dyDescent="0.25">
      <c r="A8" s="3" t="s">
        <v>23</v>
      </c>
      <c r="B8" s="9">
        <f>8.9*10^(-2)</f>
        <v>8.900000000000001E-2</v>
      </c>
      <c r="C8" s="11">
        <f t="shared" si="0"/>
        <v>17808900000.000004</v>
      </c>
      <c r="D8" s="3"/>
      <c r="E8" s="9"/>
      <c r="F8" s="15"/>
    </row>
    <row r="9" spans="1:6" x14ac:dyDescent="0.25">
      <c r="A9" s="3" t="s">
        <v>24</v>
      </c>
      <c r="B9" s="9">
        <f>1.7*10^(-2)</f>
        <v>1.7000000000000001E-2</v>
      </c>
      <c r="C9" s="11">
        <f t="shared" si="0"/>
        <v>3401700000.0000005</v>
      </c>
      <c r="D9" s="3"/>
      <c r="E9" s="9"/>
      <c r="F9" s="15"/>
    </row>
    <row r="10" spans="1:6" x14ac:dyDescent="0.25">
      <c r="A10" s="3" t="s">
        <v>25</v>
      </c>
      <c r="B10" s="9">
        <f>2.3*10^(-2)</f>
        <v>2.3E-2</v>
      </c>
      <c r="C10" s="11">
        <f t="shared" si="0"/>
        <v>4602300000</v>
      </c>
      <c r="D10" s="3"/>
      <c r="E10" s="9"/>
      <c r="F10" s="15"/>
    </row>
    <row r="11" spans="1:6" x14ac:dyDescent="0.25">
      <c r="A11" s="10" t="s">
        <v>29</v>
      </c>
      <c r="B11" s="13">
        <f>SUM(B4:B10)</f>
        <v>0.22500000000000001</v>
      </c>
      <c r="C11" s="14">
        <f>SUM(C4:C10)</f>
        <v>45022500000</v>
      </c>
      <c r="D11" s="10"/>
      <c r="E11" s="12">
        <f>SUM(E4:E10)</f>
        <v>0.77500000000000002</v>
      </c>
      <c r="F11" s="16">
        <f>SUM(F4:F10)</f>
        <v>155077500000</v>
      </c>
    </row>
    <row r="13" spans="1:6" x14ac:dyDescent="0.25">
      <c r="A13" s="19"/>
      <c r="B13" s="19"/>
      <c r="C13" s="19"/>
      <c r="D13" s="19"/>
    </row>
    <row r="14" spans="1:6" x14ac:dyDescent="0.25">
      <c r="A14" s="19"/>
      <c r="B14" s="19"/>
      <c r="C14" s="19"/>
      <c r="D14" s="19"/>
    </row>
    <row r="15" spans="1:6" x14ac:dyDescent="0.25">
      <c r="A15" s="19"/>
      <c r="B15" s="20"/>
      <c r="C15" s="20"/>
      <c r="D15" s="20"/>
    </row>
    <row r="16" spans="1:6" x14ac:dyDescent="0.25">
      <c r="A16" s="19"/>
      <c r="B16" s="20"/>
      <c r="C16" s="20"/>
      <c r="D16" s="20"/>
    </row>
    <row r="17" spans="1:4" x14ac:dyDescent="0.25">
      <c r="A17" s="19"/>
      <c r="B17" s="20"/>
      <c r="C17" s="20"/>
      <c r="D17" s="20"/>
    </row>
    <row r="18" spans="1:4" x14ac:dyDescent="0.25">
      <c r="A18" s="19"/>
      <c r="B18" s="20"/>
      <c r="C18" s="20"/>
      <c r="D18" s="20"/>
    </row>
    <row r="19" spans="1:4" x14ac:dyDescent="0.25">
      <c r="A19" s="19"/>
      <c r="B19" s="20"/>
      <c r="C19" s="20"/>
      <c r="D19" s="20"/>
    </row>
    <row r="20" spans="1:4" x14ac:dyDescent="0.25">
      <c r="A20" s="19"/>
      <c r="B20" s="20"/>
      <c r="C20" s="20"/>
      <c r="D20" s="20"/>
    </row>
    <row r="21" spans="1:4" x14ac:dyDescent="0.25">
      <c r="A21" s="19"/>
      <c r="B21" s="20"/>
      <c r="C21" s="20"/>
      <c r="D21" s="20"/>
    </row>
    <row r="22" spans="1:4" x14ac:dyDescent="0.25">
      <c r="A22" s="19"/>
      <c r="B22" s="20"/>
      <c r="C22" s="20"/>
      <c r="D22" s="20"/>
    </row>
    <row r="23" spans="1:4" x14ac:dyDescent="0.25">
      <c r="A23" s="19"/>
      <c r="B23" s="20"/>
      <c r="C23" s="20"/>
      <c r="D23" s="20"/>
    </row>
    <row r="24" spans="1:4" x14ac:dyDescent="0.25">
      <c r="A24" s="19"/>
      <c r="B24" s="20"/>
      <c r="C24" s="20"/>
      <c r="D24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H31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23.7109375" bestFit="1" customWidth="1"/>
    <col min="2" max="2" width="24.42578125" bestFit="1" customWidth="1"/>
    <col min="3" max="3" width="20.85546875" bestFit="1" customWidth="1"/>
    <col min="5" max="5" width="23.7109375" bestFit="1" customWidth="1"/>
    <col min="6" max="6" width="24.42578125" bestFit="1" customWidth="1"/>
    <col min="7" max="7" width="20.85546875" bestFit="1" customWidth="1"/>
  </cols>
  <sheetData>
    <row r="1" spans="1:8" x14ac:dyDescent="0.25">
      <c r="A1" s="1" t="s">
        <v>9</v>
      </c>
      <c r="B1" s="1" t="s">
        <v>11</v>
      </c>
      <c r="C1" s="1" t="s">
        <v>12</v>
      </c>
      <c r="D1" s="2"/>
      <c r="E1" s="1" t="s">
        <v>9</v>
      </c>
      <c r="F1" s="1" t="s">
        <v>11</v>
      </c>
      <c r="G1" s="1" t="s">
        <v>12</v>
      </c>
      <c r="H1" s="2"/>
    </row>
    <row r="2" spans="1:8" x14ac:dyDescent="0.25">
      <c r="A2" s="4" t="s">
        <v>16</v>
      </c>
      <c r="B2" s="4" t="s">
        <v>17</v>
      </c>
      <c r="C2" s="3"/>
      <c r="D2" s="2"/>
      <c r="E2" s="4" t="s">
        <v>16</v>
      </c>
      <c r="F2" s="4" t="s">
        <v>19</v>
      </c>
      <c r="G2" s="3"/>
      <c r="H2" s="2"/>
    </row>
    <row r="3" spans="1:8" x14ac:dyDescent="0.25">
      <c r="A3" s="7" t="s">
        <v>10</v>
      </c>
      <c r="B3" s="7" t="s">
        <v>1</v>
      </c>
      <c r="C3" s="7" t="s">
        <v>13</v>
      </c>
      <c r="D3" s="2"/>
      <c r="E3" s="7" t="s">
        <v>10</v>
      </c>
      <c r="F3" s="7" t="s">
        <v>1</v>
      </c>
      <c r="G3" s="7" t="s">
        <v>13</v>
      </c>
      <c r="H3" s="2"/>
    </row>
    <row r="4" spans="1:8" x14ac:dyDescent="0.25">
      <c r="A4" s="2">
        <v>1.3698630136986301E-2</v>
      </c>
      <c r="B4" s="2">
        <v>0</v>
      </c>
      <c r="C4" s="2"/>
      <c r="D4" s="2"/>
      <c r="E4" s="2">
        <v>1.3698630136986301E-2</v>
      </c>
      <c r="F4" s="2">
        <v>0</v>
      </c>
      <c r="G4" s="2"/>
      <c r="H4" s="2"/>
    </row>
    <row r="5" spans="1:8" x14ac:dyDescent="0.25">
      <c r="A5" s="2">
        <v>5.0136986301369797</v>
      </c>
      <c r="B5" s="2">
        <v>7.7939622204665895E-2</v>
      </c>
      <c r="C5" s="2"/>
      <c r="D5" s="2"/>
      <c r="E5" s="2">
        <v>5.0136986301369797</v>
      </c>
      <c r="F5" s="2">
        <v>4.5384271990683803E-2</v>
      </c>
      <c r="G5" s="2"/>
      <c r="H5" s="2"/>
    </row>
    <row r="6" spans="1:8" x14ac:dyDescent="0.25">
      <c r="A6" s="2">
        <v>10.013698630136901</v>
      </c>
      <c r="B6" s="2">
        <v>0.174355754661912</v>
      </c>
      <c r="C6" s="2"/>
      <c r="D6" s="2"/>
      <c r="E6" s="2">
        <v>10.013698630136901</v>
      </c>
      <c r="F6" s="2">
        <v>7.2540463701010402E-2</v>
      </c>
      <c r="G6" s="2"/>
      <c r="H6" s="2"/>
    </row>
    <row r="7" spans="1:8" x14ac:dyDescent="0.25">
      <c r="A7" s="2">
        <v>15.013698630136901</v>
      </c>
      <c r="B7" s="2">
        <v>0.215311475033656</v>
      </c>
      <c r="C7" s="2"/>
      <c r="D7" s="2"/>
      <c r="E7" s="2">
        <v>15.013698630136901</v>
      </c>
      <c r="F7" s="2">
        <v>8.5373382301760795E-2</v>
      </c>
      <c r="G7" s="2"/>
      <c r="H7" s="2"/>
    </row>
    <row r="8" spans="1:8" x14ac:dyDescent="0.25">
      <c r="A8" s="2">
        <v>20.013698630136901</v>
      </c>
      <c r="B8" s="2">
        <v>0.21674457121350901</v>
      </c>
      <c r="C8" s="2"/>
      <c r="D8" s="2"/>
      <c r="E8" s="2">
        <v>20.013698630136901</v>
      </c>
      <c r="F8" s="2">
        <v>9.8902403928797802E-2</v>
      </c>
      <c r="G8" s="2"/>
      <c r="H8" s="2"/>
    </row>
    <row r="9" spans="1:8" x14ac:dyDescent="0.25">
      <c r="A9" s="2">
        <v>25.013698630136901</v>
      </c>
      <c r="B9" s="2">
        <v>0.25160076451803498</v>
      </c>
      <c r="C9" s="2"/>
      <c r="D9" s="2"/>
      <c r="E9" s="2">
        <v>25.013698630136901</v>
      </c>
      <c r="F9" s="2">
        <v>0.13718244662259299</v>
      </c>
      <c r="G9" s="2"/>
      <c r="H9" s="2"/>
    </row>
    <row r="10" spans="1:8" x14ac:dyDescent="0.25">
      <c r="A10" s="2">
        <v>30.013698630136901</v>
      </c>
      <c r="B10" s="2">
        <v>0.346355932744291</v>
      </c>
      <c r="C10" s="2"/>
      <c r="D10" s="2"/>
      <c r="E10" s="2">
        <v>30.013698630136901</v>
      </c>
      <c r="F10" s="2">
        <v>0.210695087718901</v>
      </c>
      <c r="G10" s="2"/>
      <c r="H10" s="2"/>
    </row>
    <row r="11" spans="1:8" x14ac:dyDescent="0.25">
      <c r="A11" s="2">
        <v>35.013698630136901</v>
      </c>
      <c r="B11" s="2">
        <v>0.52196364321502997</v>
      </c>
      <c r="C11" s="2"/>
      <c r="D11" s="2"/>
      <c r="E11" s="2">
        <v>35.013698630136901</v>
      </c>
      <c r="F11" s="2">
        <v>0.32129563591259902</v>
      </c>
      <c r="G11" s="2"/>
      <c r="H11" s="2"/>
    </row>
    <row r="12" spans="1:8" x14ac:dyDescent="0.25">
      <c r="A12" s="2">
        <v>40.013698630136901</v>
      </c>
      <c r="B12" s="2">
        <v>0.81140494065257196</v>
      </c>
      <c r="C12" s="2"/>
      <c r="D12" s="2"/>
      <c r="E12" s="2">
        <v>40.013698630136901</v>
      </c>
      <c r="F12" s="2">
        <v>0.459798415622303</v>
      </c>
      <c r="G12" s="2"/>
      <c r="H12" s="2"/>
    </row>
    <row r="13" spans="1:8" x14ac:dyDescent="0.25">
      <c r="A13" s="2">
        <v>45.013698630136901</v>
      </c>
      <c r="B13" s="2">
        <v>1.1839512096952001</v>
      </c>
      <c r="C13" s="2"/>
      <c r="D13" s="2"/>
      <c r="E13" s="2">
        <v>45.013698630136901</v>
      </c>
      <c r="F13" s="2">
        <v>0.59136419056791401</v>
      </c>
      <c r="G13" s="2"/>
      <c r="H13" s="2"/>
    </row>
    <row r="14" spans="1:8" x14ac:dyDescent="0.25">
      <c r="A14" s="2">
        <v>50.013698630136901</v>
      </c>
      <c r="B14" s="2">
        <v>1.5512762333772101</v>
      </c>
      <c r="C14" s="2"/>
      <c r="D14" s="2"/>
      <c r="E14" s="2">
        <v>50.013698630136901</v>
      </c>
      <c r="F14" s="2">
        <v>0.70990335111173997</v>
      </c>
      <c r="G14" s="2"/>
      <c r="H14" s="2"/>
    </row>
    <row r="15" spans="1:8" x14ac:dyDescent="0.25">
      <c r="A15" s="2">
        <v>55.013698630136901</v>
      </c>
      <c r="B15" s="2">
        <v>2.04379417537054</v>
      </c>
      <c r="C15" s="2"/>
      <c r="D15" s="2"/>
      <c r="E15" s="2">
        <v>55.013698630136901</v>
      </c>
      <c r="F15" s="2">
        <v>0.91224197059140999</v>
      </c>
      <c r="G15" s="2"/>
      <c r="H15" s="2"/>
    </row>
    <row r="16" spans="1:8" x14ac:dyDescent="0.25">
      <c r="A16" s="2">
        <v>60.013698630136901</v>
      </c>
      <c r="B16" s="2">
        <v>2.97299573086825</v>
      </c>
      <c r="C16" s="2"/>
      <c r="D16" s="2"/>
      <c r="E16" s="2">
        <v>60.013698630136901</v>
      </c>
      <c r="F16" s="2">
        <v>1.31631783832178</v>
      </c>
      <c r="G16" s="2"/>
      <c r="H16" s="2"/>
    </row>
    <row r="17" spans="1:8" x14ac:dyDescent="0.25">
      <c r="A17" s="2">
        <v>65.013698630136901</v>
      </c>
      <c r="B17" s="2">
        <v>4.6941684579910596</v>
      </c>
      <c r="C17" s="2"/>
      <c r="D17" s="2"/>
      <c r="E17" s="2">
        <v>65.013698630136901</v>
      </c>
      <c r="F17" s="2">
        <v>2.1345491744537202</v>
      </c>
      <c r="G17" s="2"/>
      <c r="H17" s="2"/>
    </row>
    <row r="18" spans="1:8" x14ac:dyDescent="0.25">
      <c r="A18" s="2">
        <v>70.013698630136901</v>
      </c>
      <c r="B18" s="2">
        <v>7.8671003034959899</v>
      </c>
      <c r="C18" s="2"/>
      <c r="D18" s="2"/>
      <c r="E18" s="2">
        <v>70.013698630136901</v>
      </c>
      <c r="F18" s="2">
        <v>3.9102859467337199</v>
      </c>
      <c r="G18" s="2"/>
      <c r="H18" s="2"/>
    </row>
    <row r="19" spans="1:8" x14ac:dyDescent="0.25">
      <c r="A19" s="2">
        <v>75.013698630136901</v>
      </c>
      <c r="B19" s="2">
        <v>13.0618662081946</v>
      </c>
      <c r="C19" s="2"/>
      <c r="D19" s="2"/>
      <c r="E19" s="2">
        <v>75.013698630136901</v>
      </c>
      <c r="F19" s="2">
        <v>7.4443996190302499</v>
      </c>
      <c r="G19" s="2"/>
      <c r="H19" s="2"/>
    </row>
    <row r="20" spans="1:8" x14ac:dyDescent="0.25">
      <c r="A20" s="2">
        <v>80.013698630136901</v>
      </c>
      <c r="B20" s="2">
        <v>19.5391979563266</v>
      </c>
      <c r="C20" s="2"/>
      <c r="D20" s="2"/>
      <c r="E20" s="2">
        <v>80.013698630136901</v>
      </c>
      <c r="F20" s="2">
        <v>13.823299006466099</v>
      </c>
      <c r="G20" s="2"/>
      <c r="H20" s="2"/>
    </row>
    <row r="21" spans="1:8" x14ac:dyDescent="0.25">
      <c r="A21" s="2">
        <v>85.013698630136901</v>
      </c>
      <c r="B21" s="2">
        <v>21.654096494451299</v>
      </c>
      <c r="C21" s="2"/>
      <c r="D21" s="2"/>
      <c r="E21" s="2">
        <v>85.013698630136901</v>
      </c>
      <c r="F21" s="2">
        <v>20.940952714502298</v>
      </c>
      <c r="G21" s="2"/>
      <c r="H21" s="2"/>
    </row>
    <row r="22" spans="1:8" x14ac:dyDescent="0.25">
      <c r="A22" s="2">
        <v>90.013698630136901</v>
      </c>
      <c r="B22" s="2">
        <v>15.755435503462399</v>
      </c>
      <c r="C22" s="2"/>
      <c r="D22" s="2"/>
      <c r="E22" s="2">
        <v>90.013698630136901</v>
      </c>
      <c r="F22" s="2">
        <v>22.957779369819601</v>
      </c>
      <c r="G22" s="2"/>
      <c r="H22" s="2"/>
    </row>
    <row r="23" spans="1:8" x14ac:dyDescent="0.25">
      <c r="A23" s="2">
        <v>95.013698630136901</v>
      </c>
      <c r="B23" s="2">
        <v>6.0628256286608</v>
      </c>
      <c r="C23" s="2"/>
      <c r="D23" s="2"/>
      <c r="E23" s="2">
        <v>95.013698630136901</v>
      </c>
      <c r="F23" s="2">
        <v>16.556228012878801</v>
      </c>
      <c r="G23" s="2"/>
      <c r="H23" s="2"/>
    </row>
    <row r="24" spans="1:8" x14ac:dyDescent="0.25">
      <c r="A24" s="2">
        <v>100.01369863013601</v>
      </c>
      <c r="B24" s="2">
        <v>0.935685632491009</v>
      </c>
      <c r="C24" s="2"/>
      <c r="D24" s="2"/>
      <c r="E24" s="2">
        <v>100.01369863013601</v>
      </c>
      <c r="F24" s="2">
        <v>6.2473855202488</v>
      </c>
      <c r="G24" s="2"/>
      <c r="H24" s="2"/>
    </row>
    <row r="25" spans="1:8" x14ac:dyDescent="0.25">
      <c r="A25" s="2">
        <v>105.01369863013601</v>
      </c>
      <c r="B25" s="2">
        <v>5.91655657339085E-2</v>
      </c>
      <c r="C25" s="2"/>
      <c r="D25" s="2"/>
      <c r="E25" s="2">
        <v>105.01369863013601</v>
      </c>
      <c r="F25" s="2">
        <v>0.96365923055004998</v>
      </c>
      <c r="G25" s="2"/>
      <c r="H25" s="2"/>
    </row>
    <row r="26" spans="1:8" x14ac:dyDescent="0.25">
      <c r="A26" s="2">
        <v>110.01369863013601</v>
      </c>
      <c r="B26" s="2">
        <v>2.6193935178462999E-3</v>
      </c>
      <c r="C26" s="2"/>
      <c r="D26" s="2"/>
      <c r="E26" s="2">
        <v>110.01369863013601</v>
      </c>
      <c r="F26" s="2">
        <v>5.7791987676897298E-2</v>
      </c>
      <c r="G26" s="2"/>
      <c r="H26" s="2"/>
    </row>
    <row r="27" spans="1:8" x14ac:dyDescent="0.25">
      <c r="A27" s="2">
        <v>115.01369863013601</v>
      </c>
      <c r="B27" s="2">
        <v>1.4041391758483701E-4</v>
      </c>
      <c r="C27" s="2"/>
      <c r="D27" s="2"/>
      <c r="E27" s="2">
        <v>115.01369863013601</v>
      </c>
      <c r="F27" s="2">
        <v>2.5396605953259201E-3</v>
      </c>
      <c r="G27" s="2"/>
      <c r="H27" s="2"/>
    </row>
    <row r="28" spans="1:8" x14ac:dyDescent="0.25">
      <c r="A28" s="2">
        <v>120.01369863013601</v>
      </c>
      <c r="B28" s="2" t="s">
        <v>14</v>
      </c>
      <c r="C28" s="2"/>
      <c r="D28" s="2"/>
      <c r="E28" s="2">
        <v>120.01369863013601</v>
      </c>
      <c r="F28" s="2">
        <v>1.26706889874747E-4</v>
      </c>
      <c r="G28" s="2"/>
      <c r="H28" s="2"/>
    </row>
    <row r="29" spans="1:8" x14ac:dyDescent="0.25">
      <c r="A29" s="2">
        <v>125.01369863013601</v>
      </c>
      <c r="B29" s="2" t="s">
        <v>15</v>
      </c>
      <c r="C29" s="2"/>
      <c r="D29" s="2"/>
      <c r="E29" s="2">
        <v>125.01369863013601</v>
      </c>
      <c r="F29" s="2" t="s">
        <v>18</v>
      </c>
      <c r="G29" s="2"/>
      <c r="H29" s="2"/>
    </row>
    <row r="30" spans="1:8" x14ac:dyDescent="0.25">
      <c r="A30" s="2">
        <v>130.01369863013599</v>
      </c>
      <c r="B30" s="2">
        <v>0</v>
      </c>
      <c r="C30" s="2"/>
      <c r="D30" s="2"/>
      <c r="E30" s="2">
        <v>130.01369863013599</v>
      </c>
      <c r="F30" s="2">
        <v>0</v>
      </c>
      <c r="G30" s="2"/>
      <c r="H30" s="2"/>
    </row>
    <row r="31" spans="1:8" x14ac:dyDescent="0.25">
      <c r="A31" s="2"/>
      <c r="B31" s="2"/>
      <c r="C31" s="2"/>
      <c r="D31" s="2"/>
      <c r="E31" s="2"/>
      <c r="F31" s="2"/>
      <c r="G31" s="2"/>
      <c r="H31" s="2"/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TableMortaliteHommeFrance">
                <anchor moveWithCells="1" sizeWithCells="1">
                  <from>
                    <xdr:col>0</xdr:col>
                    <xdr:colOff>647700</xdr:colOff>
                    <xdr:row>5</xdr:row>
                    <xdr:rowOff>47625</xdr:rowOff>
                  </from>
                  <to>
                    <xdr:col>1</xdr:col>
                    <xdr:colOff>971550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TableMortaliteFemmeFrance">
                <anchor moveWithCells="1" sizeWithCells="1">
                  <from>
                    <xdr:col>4</xdr:col>
                    <xdr:colOff>895350</xdr:colOff>
                    <xdr:row>5</xdr:row>
                    <xdr:rowOff>85725</xdr:rowOff>
                  </from>
                  <to>
                    <xdr:col>5</xdr:col>
                    <xdr:colOff>1257300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DonneesFFAAssuranceFrance2009</vt:lpstr>
      <vt:lpstr>TableDeMortaliteFrance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2019-10-17T12:45:24Z</dcterms:modified>
</cp:coreProperties>
</file>